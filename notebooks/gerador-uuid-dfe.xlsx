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Composição" sheetId="1" state="visible" r:id="rId2"/>
    <sheet name="Gerador" sheetId="2" state="visible" r:id="rId3"/>
    <sheet name="Esboço" sheetId="3" state="visible" r:id="rId4"/>
    <sheet name="tab-doc" sheetId="4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<sst xmlns="http://schemas.openxmlformats.org/spreadsheetml/2006/main" count="70" uniqueCount="70">
  <si>
    <t>sinal</t>
  </si>
  <si>
    <t>Data</t>
  </si>
  <si>
    <t>doc</t>
  </si>
  <si>
    <t>Cnpj</t>
  </si>
  <si>
    <t>sequencial</t>
  </si>
  <si>
    <t>worker</t>
  </si>
  <si>
    <t>Amapá</t>
  </si>
  <si>
    <t>Brasil</t>
  </si>
  <si>
    <t>População</t>
  </si>
  <si>
    <t>Notas/(mês.pessoal)</t>
  </si>
  <si>
    <t>Notas/mês</t>
  </si>
  <si>
    <t xml:space="preserve">Dias de pico</t>
  </si>
  <si>
    <t>Arq/dia</t>
  </si>
  <si>
    <t>Doc</t>
  </si>
  <si>
    <t>CNPJ</t>
  </si>
  <si>
    <t>FNV-1</t>
  </si>
  <si>
    <t>Binario</t>
  </si>
  <si>
    <t>controle</t>
  </si>
  <si>
    <t>ano</t>
  </si>
  <si>
    <t>mes</t>
  </si>
  <si>
    <t>dias</t>
  </si>
  <si>
    <t>horas</t>
  </si>
  <si>
    <t>minutos</t>
  </si>
  <si>
    <t>segundos</t>
  </si>
  <si>
    <t>milisegundo</t>
  </si>
  <si>
    <t>aletaorio</t>
  </si>
  <si>
    <t>modelo</t>
  </si>
  <si>
    <t>sub</t>
  </si>
  <si>
    <t>chave</t>
  </si>
  <si>
    <t>estado</t>
  </si>
  <si>
    <t>cnpj</t>
  </si>
  <si>
    <t>dig</t>
  </si>
  <si>
    <t>serie</t>
  </si>
  <si>
    <t>numero</t>
  </si>
  <si>
    <t>Parte</t>
  </si>
  <si>
    <t>Tamanho</t>
  </si>
  <si>
    <t xml:space="preserve">Capacidade Prática</t>
  </si>
  <si>
    <t xml:space="preserve">Sinal (Controle)</t>
  </si>
  <si>
    <t xml:space="preserve">1 bit</t>
  </si>
  <si>
    <t xml:space="preserve">Reservado (para garantir que o número seja sempre positivo em bancos de dados).</t>
  </si>
  <si>
    <t xml:space="preserve">Data (dias)</t>
  </si>
  <si>
    <t xml:space="preserve">14 bits</t>
  </si>
  <si>
    <t xml:space="preserve">Pode contar dias por 44,89 anos a partir de uma data de início customizada (ex: 01/01/2005) chegando até 19/01/2049.</t>
  </si>
  <si>
    <t xml:space="preserve">Tempo (Segundos)</t>
  </si>
  <si>
    <t xml:space="preserve">17 bits</t>
  </si>
  <si>
    <r>
      <rPr>
        <sz val="8"/>
        <rFont val="Times New Roman"/>
      </rPr>
      <t xml:space="preserve">Pode contar segundos por </t>
    </r>
    <r>
      <rPr>
        <b/>
        <sz val="8"/>
        <rFont val="Times New Roman"/>
      </rPr>
      <t xml:space="preserve">67,91 anos</t>
    </r>
    <r>
      <rPr>
        <sz val="8"/>
        <rFont val="Times New Roman"/>
      </rPr>
      <t xml:space="preserve"> a partir de uma data de início customizada (ex: 01/01/2000) chegando até 19/01/2068.</t>
    </r>
  </si>
  <si>
    <t xml:space="preserve">Modelo de Documento</t>
  </si>
  <si>
    <t xml:space="preserve">8 bits</t>
  </si>
  <si>
    <t xml:space="preserve">Podem ser cadastrados até 256 modelos de documento fiscal ou contábil. Se construido do bit da esqueda para a direita, aumenta a capacidade de geração</t>
  </si>
  <si>
    <t>Sequencial</t>
  </si>
  <si>
    <t xml:space="preserve">Permite extrair até 128.000 notas por segundo no mesmo worker, sem colisão. Se o modelo do documento for ao contrário, a não utilização do sequencial pode ser transferido para o modelo.</t>
  </si>
  <si>
    <t xml:space="preserve">ID do Worker</t>
  </si>
  <si>
    <t xml:space="preserve">7 bits</t>
  </si>
  <si>
    <r>
      <rPr>
        <sz val="8"/>
        <rFont val="Times New Roman"/>
      </rPr>
      <t xml:space="preserve">Permite até </t>
    </r>
    <r>
      <rPr>
        <b/>
        <sz val="8"/>
        <rFont val="Times New Roman"/>
      </rPr>
      <t>64</t>
    </r>
    <r>
      <rPr>
        <sz val="8"/>
        <rFont val="Times New Roman"/>
      </rPr>
      <t xml:space="preserve"> containers rodando paralelamente.</t>
    </r>
  </si>
  <si>
    <t>TOTAL</t>
  </si>
  <si>
    <t xml:space="preserve">64 bits</t>
  </si>
  <si>
    <r>
      <rPr>
        <sz val="12"/>
        <rFont val="Times New Roman"/>
      </rPr>
      <t xml:space="preserve">Cabe perfeitamente num campo </t>
    </r>
    <r>
      <rPr>
        <sz val="10"/>
        <rFont val="Courier New"/>
      </rPr>
      <t>BIGINT</t>
    </r>
    <r>
      <rPr>
        <sz val="12"/>
        <rFont val="Times New Roman"/>
      </rPr>
      <t xml:space="preserve"> do Postgres ou DuckDB.</t>
    </r>
  </si>
  <si>
    <t>codigo</t>
  </si>
  <si>
    <t>reverso</t>
  </si>
  <si>
    <t>Tipo</t>
  </si>
  <si>
    <t>NFe</t>
  </si>
  <si>
    <t xml:space="preserve">NFe Evento</t>
  </si>
  <si>
    <t>NFCe</t>
  </si>
  <si>
    <t xml:space="preserve">NFCe Evento</t>
  </si>
  <si>
    <t>CTe</t>
  </si>
  <si>
    <t xml:space="preserve">CTe Evento</t>
  </si>
  <si>
    <t>MDFe</t>
  </si>
  <si>
    <t xml:space="preserve">MDFe Evento</t>
  </si>
  <si>
    <t>EFD</t>
  </si>
  <si>
    <t>PGDASD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</si>
</sst>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_-* #,##0_-;&quot;-&quot;* #,##0_-;_-* &quot;-&quot;??_-;_-@_-"/>
  </numFmts>
  <fonts count="6">
    <font>
      <sz val="11.000000"/>
      <color theme="1"/>
      <name val="Calibri"/>
      <scheme val="minor"/>
    </font>
    <font>
      <b/>
      <sz val="8.000000"/>
      <name val="Times New Roman"/>
    </font>
    <font>
      <sz val="8.000000"/>
      <color theme="1"/>
      <name val="Calibri"/>
      <scheme val="minor"/>
    </font>
    <font>
      <sz val="8.000000"/>
      <name val="Times New Roman"/>
    </font>
    <font>
      <b/>
      <sz val="12.000000"/>
      <name val="Times New Roman"/>
    </font>
    <font>
      <sz val="11.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2" borderId="0" numFmtId="43" applyNumberFormat="1" applyFont="0" applyFill="0" applyBorder="0"/>
  </cellStyleXfs>
  <cellXfs count="19">
    <xf fontId="0" fillId="0" borderId="0" numFmtId="0" xfId="0"/>
    <xf fontId="0" fillId="0" borderId="0" numFmtId="0" xfId="0">
      <protection hidden="0" locked="1"/>
    </xf>
    <xf fontId="0" fillId="0" borderId="0" numFmtId="164" xfId="1" applyNumberFormat="1">
      <protection hidden="0" locked="1"/>
    </xf>
    <xf fontId="0" fillId="0" borderId="0" numFmtId="165" xfId="1" applyNumberFormat="1">
      <protection hidden="0" locked="1"/>
    </xf>
    <xf fontId="0" fillId="0" borderId="0" numFmtId="164" xfId="1" applyNumberFormat="1"/>
    <xf fontId="0" fillId="0" borderId="0" numFmtId="165" xfId="1" applyNumberFormat="1"/>
    <xf fontId="0" fillId="0" borderId="0" numFmtId="0" xfId="0"/>
    <xf fontId="0" fillId="0" borderId="0" numFmtId="0" xfId="0" applyAlignment="1">
      <alignment horizontal="right"/>
    </xf>
    <xf fontId="0" fillId="0" borderId="0" numFmtId="1" xfId="0" applyNumberFormat="1">
      <protection hidden="0" locked="1"/>
    </xf>
    <xf fontId="0" fillId="0" borderId="0" numFmtId="14" xfId="0" applyNumberFormat="1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center" vertical="center"/>
    </xf>
    <xf fontId="2" fillId="0" borderId="0" numFmtId="0" xfId="0" applyFont="1"/>
    <xf fontId="1" fillId="0" borderId="0" numFmtId="0" xfId="0" applyFont="1" applyAlignment="1">
      <alignment horizontal="left" vertical="center" wrapText="1"/>
    </xf>
    <xf fontId="3" fillId="0" borderId="0" numFmtId="0" xfId="0" applyFont="1" applyAlignment="1">
      <alignment horizontal="left" vertical="center" wrapText="1"/>
    </xf>
    <xf fontId="3" fillId="0" borderId="0" numFmtId="0" xfId="0" applyFont="1" applyAlignment="1">
      <alignment horizontal="left" vertical="center"/>
    </xf>
    <xf fontId="2" fillId="0" borderId="0" numFmtId="0" xfId="0" applyFont="1">
      <protection hidden="0" locked="1"/>
    </xf>
    <xf fontId="4" fillId="0" borderId="0" numFmtId="0" xfId="0" applyFont="1" applyAlignment="1">
      <alignment horizontal="left" vertical="center" wrapText="1"/>
    </xf>
    <xf fontId="5" fillId="0" borderId="0" numFmtId="0" xfId="0" applyFont="1" applyAlignment="1">
      <alignment horizontal="left" vertical="center"/>
    </xf>
  </cellXfs>
  <cellStyles count="2">
    <cellStyle name="Normal" xfId="0" builtinId="0"/>
    <cellStyle name="Comm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9.00390625"/>
    <col bestFit="1" min="2" max="2" width="20.171875"/>
    <col customWidth="1" min="3" max="3" width="16.28125"/>
    <col bestFit="1" min="4" max="4" width="12.57421875"/>
    <col customWidth="1" min="5" max="5" width="15.28125"/>
    <col bestFit="1" min="6" max="6" width="16.9609375"/>
    <col bestFit="1" min="7" max="7" width="17.140625"/>
    <col min="8" max="8" width="11.28125"/>
    <col bestFit="1" min="9" max="9" width="11.921875"/>
    <col bestFit="1" customWidth="1" min="10" max="10" width="15.3515625"/>
    <col bestFit="1" min="11" max="11" width="9.7109375"/>
    <col bestFit="1" min="13" max="13" width="30.8515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K1" s="1"/>
      <c r="L1" s="1"/>
      <c r="M1" s="1"/>
      <c r="N1" s="1"/>
      <c r="O1" s="1"/>
    </row>
    <row r="2" ht="14.25">
      <c r="A2" s="2"/>
      <c r="B2" s="2">
        <v>991231</v>
      </c>
      <c r="C2" s="2">
        <v>128</v>
      </c>
      <c r="D2" s="2">
        <v>64</v>
      </c>
      <c r="E2" s="3">
        <f>2^E5</f>
        <v>1073741824</v>
      </c>
      <c r="F2" s="2"/>
      <c r="K2" s="4"/>
      <c r="L2" s="4"/>
      <c r="M2" s="2"/>
      <c r="N2" s="4"/>
      <c r="O2" s="4"/>
    </row>
    <row r="3" ht="14.25">
      <c r="A3" s="2"/>
      <c r="B3" s="2">
        <f>B2</f>
        <v>991231</v>
      </c>
      <c r="C3" s="2">
        <f>C2</f>
        <v>128</v>
      </c>
      <c r="D3" s="2">
        <f>D2</f>
        <v>64</v>
      </c>
      <c r="E3" s="3">
        <f>E2</f>
        <v>1073741824</v>
      </c>
      <c r="F3" s="2"/>
      <c r="K3" s="4"/>
      <c r="L3" s="4"/>
      <c r="M3" s="2"/>
      <c r="N3" s="4"/>
      <c r="O3" s="4"/>
    </row>
    <row r="4" ht="14.25">
      <c r="A4" s="2"/>
      <c r="B4" s="2">
        <f>LOG(B3,2)</f>
        <v>19.918861781817377</v>
      </c>
      <c r="C4" s="2">
        <f>LOG(C3,2)</f>
        <v>7</v>
      </c>
      <c r="D4" s="2">
        <f>LOG(D3,2)</f>
        <v>6</v>
      </c>
      <c r="E4" s="3">
        <f>LOG(E3,2)</f>
        <v>30</v>
      </c>
      <c r="F4" s="2"/>
      <c r="K4" s="4"/>
      <c r="L4" s="4"/>
      <c r="M4" s="2"/>
      <c r="N4" s="4"/>
      <c r="O4" s="4"/>
    </row>
    <row r="5" ht="14.25">
      <c r="A5" s="4">
        <v>1</v>
      </c>
      <c r="B5" s="4">
        <v>20</v>
      </c>
      <c r="C5" s="4">
        <v>7</v>
      </c>
      <c r="D5" s="4">
        <v>6</v>
      </c>
      <c r="E5" s="5">
        <f>64-SUM(A5:D5,F5)</f>
        <v>30</v>
      </c>
      <c r="F5" s="4"/>
      <c r="K5" s="4"/>
      <c r="L5" s="4"/>
      <c r="M5" s="2"/>
      <c r="N5" s="4"/>
      <c r="O5" s="4"/>
    </row>
    <row r="6" ht="14.25">
      <c r="A6" s="4"/>
      <c r="B6" s="4"/>
      <c r="C6" s="4"/>
      <c r="D6" s="4"/>
      <c r="E6" s="4"/>
      <c r="F6" s="4"/>
      <c r="G6" s="4"/>
      <c r="H6" s="4"/>
      <c r="K6" s="4"/>
      <c r="L6" s="4"/>
      <c r="M6" s="4"/>
      <c r="N6" s="4"/>
      <c r="O6" s="4"/>
    </row>
    <row r="7" ht="14.25">
      <c r="A7" s="4"/>
      <c r="B7" s="4"/>
      <c r="C7" s="4"/>
      <c r="D7" s="4"/>
      <c r="E7" s="4"/>
      <c r="F7" s="4"/>
      <c r="G7" s="4"/>
      <c r="H7" s="4"/>
      <c r="K7" s="4"/>
      <c r="L7" s="4"/>
      <c r="M7" s="4"/>
      <c r="N7" s="4"/>
      <c r="O7" s="4"/>
    </row>
    <row r="8" ht="14.25">
      <c r="B8" t="s">
        <v>6</v>
      </c>
      <c r="C8" s="6" t="s">
        <v>7</v>
      </c>
    </row>
    <row r="9" ht="14.25">
      <c r="A9" t="s">
        <v>8</v>
      </c>
      <c r="B9" s="5">
        <v>750000</v>
      </c>
      <c r="C9" s="5">
        <v>300000000</v>
      </c>
    </row>
    <row r="10" ht="14.25">
      <c r="A10" t="s">
        <v>9</v>
      </c>
      <c r="B10" s="5">
        <v>8</v>
      </c>
      <c r="C10" s="5">
        <v>60</v>
      </c>
    </row>
    <row r="11" ht="14.25">
      <c r="A11" t="s">
        <v>10</v>
      </c>
      <c r="B11" s="5">
        <f>B9*B10</f>
        <v>6000000</v>
      </c>
      <c r="C11" s="5">
        <f>C9*C10</f>
        <v>18000000000</v>
      </c>
    </row>
    <row r="12" ht="14.25">
      <c r="A12" s="6" t="s">
        <v>11</v>
      </c>
      <c r="B12" s="5">
        <v>5</v>
      </c>
      <c r="C12" s="5">
        <v>5</v>
      </c>
    </row>
    <row r="13" ht="14.25">
      <c r="A13" t="s">
        <v>12</v>
      </c>
      <c r="B13" s="4">
        <f>B11/30*7/B12</f>
        <v>280000</v>
      </c>
      <c r="C13" s="4">
        <f>C11/30*7/C12</f>
        <v>840000000</v>
      </c>
    </row>
    <row r="14" ht="14.25">
      <c r="B14" s="4"/>
      <c r="C14" s="4"/>
    </row>
    <row r="16" ht="14.25">
      <c r="B16" s="2"/>
      <c r="C16" s="5"/>
    </row>
    <row r="18" ht="14.25">
      <c r="A18" s="6"/>
    </row>
    <row r="19" ht="14.25">
      <c r="A19" s="6"/>
    </row>
    <row r="20" ht="14.25">
      <c r="A20" s="6"/>
    </row>
    <row r="21" ht="14.25">
      <c r="A21" s="6"/>
    </row>
    <row r="22" ht="14.25">
      <c r="A22" s="6"/>
    </row>
    <row r="23" ht="14.25">
      <c r="A23" s="6"/>
    </row>
    <row r="24" ht="14.25">
      <c r="A24" s="6"/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17.7109375"/>
    <col customWidth="1" min="4" max="4" width="12.28125"/>
    <col bestFit="1" min="7" max="7" width="24.28125"/>
    <col customWidth="1" min="8" max="8" width="53.8515625"/>
  </cols>
  <sheetData>
    <row r="2" ht="14.25">
      <c r="B2" t="s">
        <v>1</v>
      </c>
      <c r="C2" t="s">
        <v>13</v>
      </c>
      <c r="D2" t="s">
        <v>14</v>
      </c>
      <c r="E2" t="s">
        <v>15</v>
      </c>
      <c r="F2" t="s">
        <v>16</v>
      </c>
      <c r="H2" t="s">
        <v>16</v>
      </c>
      <c r="I2" t="s">
        <v>16</v>
      </c>
    </row>
    <row r="3" ht="14.25">
      <c r="B3">
        <v>160115</v>
      </c>
      <c r="C3">
        <v>1</v>
      </c>
      <c r="D3" t="str">
        <f>"11111111"</f>
        <v>11111111</v>
      </c>
      <c r="E3">
        <f t="shared" ref="E3:E9" si="0">HASHCNPJ(D3)</f>
        <v>13</v>
      </c>
      <c r="F3" s="7" t="str">
        <f t="shared" ref="F3:F9" si="1">DEC2BIN(E3)</f>
        <v>1101</v>
      </c>
      <c r="G3" s="8">
        <f>B3*2^43+C3*2^36+E3*2^30</f>
        <v>1.4083865169289544e+18</v>
      </c>
      <c r="H3" t="e">
        <f>DEC2BIN(512)</f>
        <v>#NUM!</v>
      </c>
    </row>
    <row r="4" ht="14.25">
      <c r="B4">
        <v>170215</v>
      </c>
      <c r="C4">
        <f t="shared" ref="C4:C10" si="2">C3+4</f>
        <v>5</v>
      </c>
      <c r="D4" s="1" t="str">
        <f>"22222222"</f>
        <v>22222222</v>
      </c>
      <c r="E4">
        <f t="shared" si="0"/>
        <v>5</v>
      </c>
      <c r="F4" s="7" t="str">
        <f t="shared" si="1"/>
        <v>101</v>
      </c>
      <c r="G4">
        <f t="shared" ref="G4:G7" si="3">B4*2^43</f>
        <v>1.4972269737751347e+18</v>
      </c>
    </row>
    <row r="5" ht="14.25">
      <c r="B5">
        <v>180315</v>
      </c>
      <c r="C5">
        <f t="shared" si="2"/>
        <v>9</v>
      </c>
      <c r="D5" s="1" t="str">
        <f>"33333333"</f>
        <v>33333333</v>
      </c>
      <c r="E5">
        <f t="shared" si="0"/>
        <v>45</v>
      </c>
      <c r="F5" s="7" t="str">
        <f t="shared" si="1"/>
        <v>101101</v>
      </c>
      <c r="G5">
        <f t="shared" si="3"/>
        <v>1.5860675132994355e+18</v>
      </c>
    </row>
    <row r="6" ht="14.25">
      <c r="B6">
        <v>190415</v>
      </c>
      <c r="C6">
        <f t="shared" si="2"/>
        <v>13</v>
      </c>
      <c r="D6" s="1" t="str">
        <f>"44444444"</f>
        <v>44444444</v>
      </c>
      <c r="E6">
        <f t="shared" si="0"/>
        <v>5</v>
      </c>
      <c r="F6" s="7" t="str">
        <f t="shared" si="1"/>
        <v>101</v>
      </c>
      <c r="G6">
        <f t="shared" si="3"/>
        <v>1.6749080528237363e+18</v>
      </c>
    </row>
    <row r="7" ht="14.25">
      <c r="B7">
        <v>200515</v>
      </c>
      <c r="C7">
        <f t="shared" si="2"/>
        <v>17</v>
      </c>
      <c r="D7" s="1" t="str">
        <f>"55555555"</f>
        <v>55555555</v>
      </c>
      <c r="E7">
        <f t="shared" si="0"/>
        <v>13</v>
      </c>
      <c r="F7" s="7" t="str">
        <f t="shared" si="1"/>
        <v>1101</v>
      </c>
      <c r="G7">
        <f t="shared" si="3"/>
        <v>1.7637485923480371e+18</v>
      </c>
    </row>
    <row r="8" ht="14.25">
      <c r="B8">
        <v>210615</v>
      </c>
      <c r="C8">
        <f t="shared" si="2"/>
        <v>21</v>
      </c>
      <c r="D8" s="1" t="str">
        <f>"66666666"</f>
        <v>66666666</v>
      </c>
      <c r="E8">
        <f t="shared" si="0"/>
        <v>37</v>
      </c>
      <c r="F8" s="7" t="str">
        <f t="shared" si="1"/>
        <v>100101</v>
      </c>
    </row>
    <row r="9" ht="14.25">
      <c r="B9">
        <v>220715</v>
      </c>
      <c r="C9">
        <f t="shared" si="2"/>
        <v>25</v>
      </c>
      <c r="D9" s="1" t="str">
        <f>"77777777"</f>
        <v>77777777</v>
      </c>
      <c r="E9">
        <f t="shared" si="0"/>
        <v>45</v>
      </c>
      <c r="F9" s="7" t="str">
        <f t="shared" si="1"/>
        <v>101101</v>
      </c>
    </row>
    <row r="10" ht="14.25">
      <c r="B10">
        <v>230815</v>
      </c>
      <c r="C10">
        <f t="shared" si="2"/>
        <v>29</v>
      </c>
      <c r="D10" s="1" t="str">
        <f>"88888888"</f>
        <v>88888888</v>
      </c>
      <c r="E10">
        <f t="shared" ref="E10:E23" si="4">HASHCNPJ(D10)</f>
        <v>37</v>
      </c>
      <c r="F10" s="7" t="str">
        <f t="shared" ref="F10:F23" si="5">DEC2BIN(E10)</f>
        <v>100101</v>
      </c>
    </row>
    <row r="11" ht="14.25">
      <c r="B11">
        <v>240915</v>
      </c>
      <c r="C11">
        <f t="shared" ref="C11:C23" si="6">C10+4</f>
        <v>33</v>
      </c>
      <c r="D11" s="1" t="str">
        <f>"99999999"</f>
        <v>99999999</v>
      </c>
      <c r="E11">
        <f t="shared" si="4"/>
        <v>29</v>
      </c>
      <c r="F11" s="7" t="str">
        <f t="shared" si="5"/>
        <v>11101</v>
      </c>
    </row>
    <row r="12" ht="14.25">
      <c r="B12">
        <v>251015</v>
      </c>
      <c r="C12">
        <f t="shared" si="6"/>
        <v>37</v>
      </c>
      <c r="D12" s="1" t="str">
        <f>"11111112"</f>
        <v>11111112</v>
      </c>
      <c r="E12">
        <f t="shared" si="4"/>
        <v>20</v>
      </c>
      <c r="F12" s="7" t="str">
        <f t="shared" si="5"/>
        <v>10100</v>
      </c>
    </row>
    <row r="13" ht="14.25">
      <c r="B13">
        <v>261115</v>
      </c>
      <c r="C13">
        <f t="shared" si="6"/>
        <v>41</v>
      </c>
      <c r="D13" s="1" t="str">
        <f>"11111113"</f>
        <v>11111113</v>
      </c>
      <c r="E13">
        <f t="shared" si="4"/>
        <v>39</v>
      </c>
      <c r="F13" s="7" t="str">
        <f t="shared" si="5"/>
        <v>100111</v>
      </c>
    </row>
    <row r="14" ht="14.25">
      <c r="B14">
        <v>271231</v>
      </c>
      <c r="C14">
        <f t="shared" si="6"/>
        <v>45</v>
      </c>
      <c r="D14" s="1" t="str">
        <f>"11111114"</f>
        <v>11111114</v>
      </c>
      <c r="E14">
        <f t="shared" si="4"/>
        <v>46</v>
      </c>
      <c r="F14" s="7" t="str">
        <f t="shared" si="5"/>
        <v>101110</v>
      </c>
    </row>
    <row r="15" ht="14.25">
      <c r="B15">
        <v>280101</v>
      </c>
      <c r="C15">
        <f t="shared" si="6"/>
        <v>49</v>
      </c>
      <c r="D15" s="1" t="str">
        <f>"11111115"</f>
        <v>11111115</v>
      </c>
      <c r="E15">
        <f t="shared" si="4"/>
        <v>1</v>
      </c>
      <c r="F15" s="7" t="str">
        <f t="shared" si="5"/>
        <v>1</v>
      </c>
    </row>
    <row r="16" ht="14.25">
      <c r="B16">
        <v>300631</v>
      </c>
      <c r="C16">
        <f t="shared" si="6"/>
        <v>53</v>
      </c>
      <c r="D16" s="1" t="str">
        <f>"11111116"</f>
        <v>11111116</v>
      </c>
      <c r="E16">
        <f t="shared" si="4"/>
        <v>8</v>
      </c>
      <c r="F16" s="7" t="str">
        <f t="shared" si="5"/>
        <v>1000</v>
      </c>
    </row>
    <row r="17" ht="14.25">
      <c r="B17">
        <v>400631</v>
      </c>
      <c r="C17">
        <f t="shared" si="6"/>
        <v>57</v>
      </c>
      <c r="D17" s="1" t="str">
        <f>"11111117"</f>
        <v>11111117</v>
      </c>
      <c r="E17">
        <f t="shared" si="4"/>
        <v>27</v>
      </c>
      <c r="F17" s="7" t="str">
        <f t="shared" si="5"/>
        <v>11011</v>
      </c>
    </row>
    <row r="18" ht="14.25">
      <c r="B18">
        <v>500631</v>
      </c>
      <c r="C18">
        <f t="shared" si="6"/>
        <v>61</v>
      </c>
      <c r="D18" s="1" t="str">
        <f>"11111118"</f>
        <v>11111118</v>
      </c>
      <c r="E18">
        <f t="shared" si="4"/>
        <v>34</v>
      </c>
      <c r="F18" s="7" t="str">
        <f t="shared" si="5"/>
        <v>100010</v>
      </c>
    </row>
    <row r="19" ht="14.25">
      <c r="B19">
        <v>600631</v>
      </c>
      <c r="C19">
        <f t="shared" si="6"/>
        <v>65</v>
      </c>
      <c r="D19" s="1" t="str">
        <f>"11111119"</f>
        <v>11111119</v>
      </c>
      <c r="E19">
        <f t="shared" si="4"/>
        <v>53</v>
      </c>
      <c r="F19" s="7" t="str">
        <f t="shared" si="5"/>
        <v>110101</v>
      </c>
    </row>
    <row r="20" ht="14.25">
      <c r="B20">
        <v>700631</v>
      </c>
      <c r="C20">
        <f t="shared" si="6"/>
        <v>69</v>
      </c>
      <c r="D20" s="1" t="str">
        <f>"1111111A"</f>
        <v>1111111A</v>
      </c>
      <c r="E20">
        <f t="shared" si="4"/>
        <v>61</v>
      </c>
      <c r="F20" s="7" t="str">
        <f t="shared" si="5"/>
        <v>111101</v>
      </c>
    </row>
    <row r="21" ht="14.25">
      <c r="B21">
        <v>800631</v>
      </c>
      <c r="C21">
        <f t="shared" si="6"/>
        <v>73</v>
      </c>
      <c r="D21" s="1" t="str">
        <f>"1111111B"</f>
        <v>1111111B</v>
      </c>
      <c r="E21">
        <f t="shared" si="4"/>
        <v>4</v>
      </c>
      <c r="F21" s="7" t="str">
        <f t="shared" si="5"/>
        <v>100</v>
      </c>
    </row>
    <row r="22" ht="14.25">
      <c r="B22">
        <v>900631</v>
      </c>
      <c r="C22">
        <f t="shared" si="6"/>
        <v>77</v>
      </c>
      <c r="D22" s="1" t="str">
        <f>"1111111C"</f>
        <v>1111111C</v>
      </c>
      <c r="E22">
        <f t="shared" si="4"/>
        <v>23</v>
      </c>
      <c r="F22" s="7" t="str">
        <f t="shared" si="5"/>
        <v>10111</v>
      </c>
    </row>
    <row r="23" ht="14.25">
      <c r="B23">
        <v>991231</v>
      </c>
      <c r="C23">
        <f t="shared" si="6"/>
        <v>81</v>
      </c>
      <c r="D23" s="1" t="str">
        <f>"ABCDEFGH"</f>
        <v>ABCDEFGH</v>
      </c>
      <c r="E23">
        <f t="shared" si="4"/>
        <v>13</v>
      </c>
      <c r="F23" s="7" t="str">
        <f t="shared" si="5"/>
        <v>1101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4" max="14" width="11.28125"/>
    <col bestFit="1" min="15" max="15" width="10.7109375"/>
    <col bestFit="1" min="16" max="16" width="11.28125"/>
    <col bestFit="1" customWidth="1" min="17" max="17" width="11.28125"/>
    <col bestFit="1" min="18" max="18" width="9.7109375"/>
  </cols>
  <sheetData>
    <row r="1" ht="14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5</v>
      </c>
      <c r="J1" t="s">
        <v>25</v>
      </c>
    </row>
    <row r="2" ht="14.25">
      <c r="B2">
        <f>2040-2005</f>
        <v>35</v>
      </c>
      <c r="C2">
        <v>12</v>
      </c>
      <c r="D2">
        <v>31</v>
      </c>
      <c r="E2" s="1">
        <v>24</v>
      </c>
      <c r="F2" s="1">
        <v>60</v>
      </c>
      <c r="G2" s="1">
        <v>60</v>
      </c>
      <c r="H2">
        <v>1000</v>
      </c>
      <c r="I2">
        <f>2^10</f>
        <v>1024</v>
      </c>
      <c r="J2" s="1">
        <f>2^12</f>
        <v>4096</v>
      </c>
    </row>
    <row r="3" ht="14.25">
      <c r="B3" s="1">
        <f>PRODUCT($B2:B2)</f>
        <v>35</v>
      </c>
      <c r="C3">
        <f>PRODUCT($B2:C2)</f>
        <v>420</v>
      </c>
      <c r="D3">
        <f>PRODUCT($B2:D2)</f>
        <v>13020</v>
      </c>
      <c r="E3" s="1">
        <f>PRODUCT($B2:E2)</f>
        <v>312480</v>
      </c>
      <c r="F3" s="1">
        <f>PRODUCT($B2:F2)</f>
        <v>18748800</v>
      </c>
      <c r="G3" s="1">
        <f>PRODUCT($B2:G2)</f>
        <v>1124928000</v>
      </c>
      <c r="H3" s="1">
        <f>PRODUCT($B2:H2)</f>
        <v>1124928000000</v>
      </c>
      <c r="I3" s="1">
        <f>I2</f>
        <v>1024</v>
      </c>
      <c r="J3" s="1">
        <f>J2</f>
        <v>4096</v>
      </c>
    </row>
    <row r="4" ht="14.25">
      <c r="A4">
        <v>1</v>
      </c>
      <c r="B4">
        <f>LOG(B3,2)</f>
        <v>5.1292830169449664</v>
      </c>
      <c r="C4" s="1">
        <f>LOG(C3,2)</f>
        <v>8.7142455176661233</v>
      </c>
      <c r="D4" s="1">
        <f>LOG(D3,2)</f>
        <v>13.668441828052998</v>
      </c>
      <c r="E4" s="1">
        <f>LOG(E3,2)</f>
        <v>18.253404328774153</v>
      </c>
      <c r="F4" s="1">
        <f>LOG(F3,2)</f>
        <v>24.160294924382672</v>
      </c>
      <c r="G4" s="1">
        <f>LOG(G3,2)</f>
        <v>30.067185519991192</v>
      </c>
      <c r="H4" s="1">
        <f>LOG(H3,2)</f>
        <v>40.032969804653277</v>
      </c>
      <c r="I4" s="1">
        <f>LOG(I3,2)</f>
        <v>10</v>
      </c>
      <c r="J4" s="1">
        <f>LOG(J3,2)</f>
        <v>12</v>
      </c>
    </row>
    <row r="7" ht="14.25">
      <c r="G7">
        <f>2^30</f>
        <v>1073741824</v>
      </c>
    </row>
    <row r="8" ht="14.25">
      <c r="G8">
        <f>LOG10(G7)</f>
        <v>9.0308998699194341</v>
      </c>
    </row>
    <row r="10" ht="14.25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s="1" t="s">
        <v>5</v>
      </c>
      <c r="I10" s="1" t="s">
        <v>25</v>
      </c>
      <c r="J10" s="6" t="s">
        <v>26</v>
      </c>
      <c r="K10" t="s">
        <v>27</v>
      </c>
    </row>
    <row r="11" ht="14.25">
      <c r="A11" s="1"/>
      <c r="B11" s="1">
        <f>2040-2005</f>
        <v>35</v>
      </c>
      <c r="C11" s="1">
        <v>12</v>
      </c>
      <c r="D11" s="1">
        <v>31</v>
      </c>
      <c r="E11" s="1">
        <v>24</v>
      </c>
      <c r="F11" s="1">
        <v>60</v>
      </c>
      <c r="G11" s="1">
        <v>60</v>
      </c>
      <c r="H11" s="1">
        <v>64</v>
      </c>
      <c r="I11" s="1">
        <f>2^12*1000/4/2</f>
        <v>512000</v>
      </c>
      <c r="J11" s="1">
        <f>2^J14</f>
        <v>256</v>
      </c>
      <c r="K11" s="1"/>
      <c r="L11">
        <v>7</v>
      </c>
      <c r="M11">
        <v>2</v>
      </c>
    </row>
    <row r="12" ht="14.25">
      <c r="A12" s="1"/>
      <c r="B12" s="1">
        <f>PRODUCT($B11:B11)</f>
        <v>35</v>
      </c>
      <c r="C12" s="1">
        <f>PRODUCT($B11:C11)</f>
        <v>420</v>
      </c>
      <c r="D12" s="1">
        <f>PRODUCT($B11:D11)</f>
        <v>13020</v>
      </c>
      <c r="E12" s="1">
        <f>PRODUCT($E11:E11)</f>
        <v>24</v>
      </c>
      <c r="F12" s="1">
        <f>PRODUCT($E11:F11)</f>
        <v>1440</v>
      </c>
      <c r="G12" s="1">
        <f>PRODUCT($E11:G11)</f>
        <v>86400</v>
      </c>
      <c r="H12" s="1">
        <f>H11</f>
        <v>64</v>
      </c>
      <c r="I12" s="1">
        <f>I11</f>
        <v>512000</v>
      </c>
      <c r="J12" s="1">
        <f>J11</f>
        <v>256</v>
      </c>
      <c r="K12" s="1"/>
      <c r="L12">
        <f>2^L11</f>
        <v>128</v>
      </c>
      <c r="M12">
        <f>2^M11</f>
        <v>4</v>
      </c>
    </row>
    <row r="13" ht="14.25">
      <c r="A13" s="1">
        <v>1</v>
      </c>
      <c r="B13" s="1">
        <f>LOG(B12,2)</f>
        <v>5.1292830169449664</v>
      </c>
      <c r="C13" s="1">
        <f>LOG(C12,2)</f>
        <v>8.7142455176661233</v>
      </c>
      <c r="D13" s="1">
        <f>LOG(D12,2)</f>
        <v>13.668441828052998</v>
      </c>
      <c r="E13" s="1">
        <f>LOG(E12,2)</f>
        <v>4.584962500721157</v>
      </c>
      <c r="F13" s="1">
        <f>LOG(F12,2)</f>
        <v>10.491853096329676</v>
      </c>
      <c r="G13" s="1">
        <f>LOG(G12,2)</f>
        <v>16.398743691938193</v>
      </c>
      <c r="H13" s="1">
        <f>LOG(H12,2)</f>
        <v>6</v>
      </c>
      <c r="I13" s="1">
        <f>LOG(I12,2)</f>
        <v>18.965784284662089</v>
      </c>
      <c r="J13" s="1">
        <f>LOG(J12,2)</f>
        <v>8</v>
      </c>
      <c r="K13" s="1"/>
    </row>
    <row r="14" ht="14.25">
      <c r="D14">
        <v>14</v>
      </c>
      <c r="G14">
        <v>17</v>
      </c>
      <c r="H14">
        <v>6</v>
      </c>
      <c r="I14">
        <v>18</v>
      </c>
      <c r="J14" s="1">
        <f>64-SUM(K14,D14:I14)</f>
        <v>8</v>
      </c>
      <c r="K14" s="1">
        <v>1</v>
      </c>
    </row>
    <row r="15" ht="14.25">
      <c r="F15">
        <f>2^31</f>
        <v>2147483648</v>
      </c>
      <c r="G15">
        <f>F15/60/60/24/366</f>
        <v>67.910204412062328</v>
      </c>
      <c r="H15" s="9">
        <f>DATE(2000,1,1)+F15/60/60/24</f>
        <v>61381.13481481481</v>
      </c>
    </row>
    <row r="16" ht="14.25">
      <c r="G16" t="s">
        <v>28</v>
      </c>
      <c r="H16">
        <f>LOG(10^44,2)</f>
        <v>146.16483617504394</v>
      </c>
      <c r="K16">
        <f>2^18</f>
        <v>262144</v>
      </c>
    </row>
    <row r="19" ht="14.25">
      <c r="A19" s="1" t="s">
        <v>17</v>
      </c>
      <c r="B19" s="1" t="s">
        <v>18</v>
      </c>
      <c r="C19" s="1" t="s">
        <v>19</v>
      </c>
      <c r="D19" s="1" t="s">
        <v>29</v>
      </c>
      <c r="E19" s="1" t="s">
        <v>30</v>
      </c>
      <c r="F19" s="1" t="s">
        <v>31</v>
      </c>
      <c r="G19" s="1" t="s">
        <v>26</v>
      </c>
      <c r="H19" s="1" t="s">
        <v>32</v>
      </c>
      <c r="I19" s="1" t="s">
        <v>33</v>
      </c>
    </row>
    <row r="20" ht="14.25">
      <c r="A20" s="1"/>
      <c r="B20" s="1">
        <f>2040-2005</f>
        <v>35</v>
      </c>
      <c r="C20" s="1">
        <v>12</v>
      </c>
      <c r="D20" s="1">
        <v>27</v>
      </c>
      <c r="E20" s="1">
        <f>(10+27-4)^12</f>
        <v>1.6678895149529851e+18</v>
      </c>
      <c r="F20" s="1">
        <v>99</v>
      </c>
      <c r="G20" s="1">
        <v>99</v>
      </c>
      <c r="H20" s="1">
        <v>999</v>
      </c>
      <c r="I20" s="1">
        <v>999999999</v>
      </c>
    </row>
    <row r="21" ht="14.25">
      <c r="A21" s="1"/>
      <c r="B21" s="1">
        <f>PRODUCT($B20:B20)</f>
        <v>35</v>
      </c>
      <c r="C21" s="1">
        <f>PRODUCT($B20:C20)</f>
        <v>420</v>
      </c>
      <c r="D21" s="1">
        <f>D20</f>
        <v>27</v>
      </c>
      <c r="E21" s="1">
        <f>E20</f>
        <v>1.6678895149529851e+18</v>
      </c>
      <c r="F21" s="1">
        <f>F20</f>
        <v>99</v>
      </c>
      <c r="G21" s="1">
        <f>G20</f>
        <v>99</v>
      </c>
      <c r="H21" s="1">
        <f>H20</f>
        <v>999</v>
      </c>
      <c r="I21" s="1">
        <f>I20</f>
        <v>999999999</v>
      </c>
    </row>
    <row r="22" ht="14.25">
      <c r="A22" s="1">
        <v>1</v>
      </c>
      <c r="B22" s="1">
        <f>LOG(B21,2)</f>
        <v>5.1292830169449664</v>
      </c>
      <c r="C22" s="1">
        <f>LOG(C21,2)</f>
        <v>8.7142455176661233</v>
      </c>
      <c r="D22" s="1">
        <f>LOG(D21,2)</f>
        <v>4.7548875021634691</v>
      </c>
      <c r="E22" s="1">
        <f>LOG(E21,2)</f>
        <v>60.532729432301444</v>
      </c>
      <c r="F22" s="1">
        <f>LOG(F21,2)</f>
        <v>6.6293566200796095</v>
      </c>
      <c r="G22" s="1">
        <f>LOG(G21,2)</f>
        <v>6.6293566200796095</v>
      </c>
      <c r="H22" s="1">
        <f>LOG(H21,2)</f>
        <v>9.9643408677924192</v>
      </c>
      <c r="I22" s="1">
        <f>LOG(I21,2)</f>
        <v>29.897352852543566</v>
      </c>
    </row>
    <row r="23" ht="14.25">
      <c r="C23">
        <v>9</v>
      </c>
      <c r="D23">
        <v>5</v>
      </c>
      <c r="E23">
        <v>61</v>
      </c>
      <c r="F23">
        <v>7</v>
      </c>
      <c r="G23">
        <v>7</v>
      </c>
      <c r="H23">
        <v>10</v>
      </c>
      <c r="I23" s="1">
        <v>30</v>
      </c>
    </row>
    <row r="34" ht="14.25">
      <c r="A34" s="10" t="s">
        <v>34</v>
      </c>
      <c r="B34" s="10" t="s">
        <v>35</v>
      </c>
      <c r="C34" s="11" t="s">
        <v>36</v>
      </c>
      <c r="D34" s="12"/>
      <c r="J34" s="5" t="e">
        <f>#REF!*2^4</f>
        <v>#REF!</v>
      </c>
    </row>
    <row r="35" ht="21">
      <c r="A35" s="13" t="s">
        <v>37</v>
      </c>
      <c r="B35" s="14" t="s">
        <v>38</v>
      </c>
      <c r="C35" s="15" t="s">
        <v>39</v>
      </c>
      <c r="D35" s="12"/>
    </row>
    <row r="36" ht="14.25">
      <c r="A36" s="13" t="s">
        <v>40</v>
      </c>
      <c r="B36" s="14" t="s">
        <v>41</v>
      </c>
      <c r="C36" s="15" t="s">
        <v>42</v>
      </c>
      <c r="D36" s="16"/>
      <c r="E36" s="1"/>
      <c r="F36" s="1"/>
      <c r="G36" s="1"/>
      <c r="H36" s="1"/>
      <c r="I36" s="1"/>
      <c r="J36" s="1"/>
      <c r="M36" s="5">
        <f>2^63</f>
        <v>9.2233720368547758e+18</v>
      </c>
    </row>
    <row r="37" ht="21">
      <c r="A37" s="13" t="s">
        <v>43</v>
      </c>
      <c r="B37" s="14" t="s">
        <v>44</v>
      </c>
      <c r="C37" s="15" t="s">
        <v>45</v>
      </c>
      <c r="D37" s="12"/>
    </row>
    <row r="38" ht="21">
      <c r="A38" s="13" t="s">
        <v>46</v>
      </c>
      <c r="B38" s="14" t="s">
        <v>47</v>
      </c>
      <c r="C38" s="15" t="s">
        <v>48</v>
      </c>
      <c r="D38" s="12"/>
    </row>
    <row r="39" ht="14.25">
      <c r="A39" s="13" t="s">
        <v>49</v>
      </c>
      <c r="B39" s="14" t="s">
        <v>44</v>
      </c>
      <c r="C39" s="15" t="s">
        <v>50</v>
      </c>
      <c r="D39" s="12"/>
    </row>
    <row r="40" ht="21">
      <c r="A40" s="13" t="s">
        <v>51</v>
      </c>
      <c r="B40" s="14" t="s">
        <v>52</v>
      </c>
      <c r="C40" s="15" t="s">
        <v>53</v>
      </c>
      <c r="D40" s="12"/>
    </row>
    <row r="41" ht="15.75">
      <c r="A41" s="17" t="s">
        <v>54</v>
      </c>
      <c r="B41" s="17" t="s">
        <v>55</v>
      </c>
      <c r="C41" s="18" t="s">
        <v>56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3" max="3" width="12.28125"/>
  </cols>
  <sheetData>
    <row r="1" ht="14.25">
      <c r="A1" t="s">
        <v>57</v>
      </c>
      <c r="B1" s="6" t="s">
        <v>58</v>
      </c>
      <c r="C1" t="s">
        <v>59</v>
      </c>
    </row>
    <row r="2" ht="14.25">
      <c r="A2">
        <v>0</v>
      </c>
      <c r="B2" s="6"/>
      <c r="C2" t="s">
        <v>60</v>
      </c>
    </row>
    <row r="3" ht="14.25">
      <c r="A3">
        <f t="shared" ref="A3:A8" si="7">A2+1</f>
        <v>1</v>
      </c>
      <c r="B3" s="6"/>
      <c r="C3" t="s">
        <v>61</v>
      </c>
    </row>
    <row r="4" ht="14.25">
      <c r="A4">
        <f t="shared" si="7"/>
        <v>2</v>
      </c>
      <c r="B4" s="6"/>
    </row>
    <row r="5" ht="14.25">
      <c r="A5">
        <f t="shared" si="7"/>
        <v>3</v>
      </c>
      <c r="B5" s="6"/>
    </row>
    <row r="6" ht="14.25">
      <c r="A6">
        <f t="shared" si="7"/>
        <v>4</v>
      </c>
      <c r="B6" s="6"/>
    </row>
    <row r="7" ht="14.25">
      <c r="A7">
        <f t="shared" si="7"/>
        <v>5</v>
      </c>
      <c r="B7" s="6"/>
      <c r="C7" t="s">
        <v>62</v>
      </c>
    </row>
    <row r="8" ht="14.25">
      <c r="A8">
        <f t="shared" si="7"/>
        <v>6</v>
      </c>
      <c r="B8" s="6"/>
      <c r="C8" t="s">
        <v>63</v>
      </c>
    </row>
    <row r="9" ht="14.25">
      <c r="A9">
        <f t="shared" ref="A9:A66" si="8">A8+1</f>
        <v>7</v>
      </c>
      <c r="B9" s="6"/>
    </row>
    <row r="10" ht="14.25">
      <c r="A10">
        <f t="shared" si="8"/>
        <v>8</v>
      </c>
      <c r="B10" s="6"/>
    </row>
    <row r="11" ht="14.25">
      <c r="A11">
        <f t="shared" si="8"/>
        <v>9</v>
      </c>
      <c r="B11" s="6"/>
    </row>
    <row r="12" ht="14.25">
      <c r="A12">
        <f t="shared" si="8"/>
        <v>10</v>
      </c>
      <c r="B12" s="6"/>
      <c r="C12" t="s">
        <v>64</v>
      </c>
    </row>
    <row r="13" ht="14.25">
      <c r="A13">
        <f t="shared" si="8"/>
        <v>11</v>
      </c>
      <c r="B13" s="6"/>
      <c r="C13" t="s">
        <v>65</v>
      </c>
    </row>
    <row r="14" ht="14.25">
      <c r="A14">
        <f t="shared" si="8"/>
        <v>12</v>
      </c>
      <c r="B14" s="6"/>
    </row>
    <row r="15" ht="14.25">
      <c r="A15">
        <f t="shared" si="8"/>
        <v>13</v>
      </c>
      <c r="B15" s="6"/>
    </row>
    <row r="16" ht="14.25">
      <c r="A16">
        <f t="shared" si="8"/>
        <v>14</v>
      </c>
      <c r="B16" s="6"/>
    </row>
    <row r="17" ht="14.25">
      <c r="A17">
        <f t="shared" si="8"/>
        <v>15</v>
      </c>
      <c r="B17" s="6"/>
      <c r="C17" t="s">
        <v>66</v>
      </c>
    </row>
    <row r="18" ht="14.25">
      <c r="A18">
        <f t="shared" si="8"/>
        <v>16</v>
      </c>
      <c r="B18" s="6"/>
      <c r="C18" t="s">
        <v>67</v>
      </c>
    </row>
    <row r="19" ht="14.25">
      <c r="A19">
        <f t="shared" si="8"/>
        <v>17</v>
      </c>
      <c r="B19" s="6"/>
    </row>
    <row r="20" ht="14.25">
      <c r="A20">
        <f t="shared" si="8"/>
        <v>18</v>
      </c>
      <c r="B20" s="6"/>
    </row>
    <row r="21" ht="14.25">
      <c r="A21">
        <f t="shared" si="8"/>
        <v>19</v>
      </c>
      <c r="B21" s="6"/>
    </row>
    <row r="22" ht="14.25">
      <c r="A22">
        <f t="shared" si="8"/>
        <v>20</v>
      </c>
      <c r="B22" s="6"/>
    </row>
    <row r="23" ht="14.25">
      <c r="A23">
        <f t="shared" si="8"/>
        <v>21</v>
      </c>
      <c r="B23" s="6"/>
    </row>
    <row r="24" ht="14.25">
      <c r="A24">
        <f t="shared" si="8"/>
        <v>22</v>
      </c>
      <c r="B24" s="6"/>
    </row>
    <row r="25" ht="14.25">
      <c r="A25">
        <f t="shared" si="8"/>
        <v>23</v>
      </c>
      <c r="B25" s="6"/>
    </row>
    <row r="26" ht="14.25">
      <c r="A26">
        <f t="shared" si="8"/>
        <v>24</v>
      </c>
      <c r="B26" s="6"/>
    </row>
    <row r="27" ht="14.25">
      <c r="A27">
        <f t="shared" si="8"/>
        <v>25</v>
      </c>
      <c r="B27" s="6"/>
    </row>
    <row r="28" ht="14.25">
      <c r="A28">
        <f t="shared" si="8"/>
        <v>26</v>
      </c>
      <c r="B28" s="6"/>
    </row>
    <row r="29" ht="14.25">
      <c r="A29">
        <f t="shared" si="8"/>
        <v>27</v>
      </c>
      <c r="B29" s="6"/>
    </row>
    <row r="30" ht="14.25">
      <c r="A30">
        <f t="shared" si="8"/>
        <v>28</v>
      </c>
      <c r="B30" s="6"/>
    </row>
    <row r="31" ht="14.25">
      <c r="A31">
        <f t="shared" si="8"/>
        <v>29</v>
      </c>
      <c r="B31" s="6"/>
    </row>
    <row r="32" ht="14.25">
      <c r="A32">
        <f t="shared" si="8"/>
        <v>30</v>
      </c>
      <c r="B32" s="6"/>
    </row>
    <row r="33" ht="14.25">
      <c r="A33">
        <f t="shared" si="8"/>
        <v>31</v>
      </c>
      <c r="B33" s="6"/>
    </row>
    <row r="34" ht="14.25">
      <c r="A34">
        <f t="shared" si="8"/>
        <v>32</v>
      </c>
      <c r="B34" s="6"/>
      <c r="C34" t="s">
        <v>68</v>
      </c>
    </row>
    <row r="35" ht="14.25">
      <c r="A35">
        <f t="shared" si="8"/>
        <v>33</v>
      </c>
      <c r="B35" s="6"/>
    </row>
    <row r="36" ht="14.25">
      <c r="A36">
        <f t="shared" si="8"/>
        <v>34</v>
      </c>
      <c r="B36" s="6"/>
    </row>
    <row r="37" ht="14.25">
      <c r="A37">
        <f t="shared" si="8"/>
        <v>35</v>
      </c>
      <c r="B37" s="6"/>
    </row>
    <row r="38" ht="14.25">
      <c r="A38">
        <f t="shared" si="8"/>
        <v>36</v>
      </c>
      <c r="B38" s="6"/>
      <c r="C38" t="s">
        <v>69</v>
      </c>
    </row>
    <row r="39" ht="14.25">
      <c r="A39">
        <f t="shared" si="8"/>
        <v>37</v>
      </c>
      <c r="B39" s="6"/>
    </row>
    <row r="40" ht="14.25">
      <c r="A40">
        <f t="shared" si="8"/>
        <v>38</v>
      </c>
      <c r="B40" s="6"/>
    </row>
    <row r="41" ht="14.25">
      <c r="A41">
        <f t="shared" si="8"/>
        <v>39</v>
      </c>
      <c r="B41" s="6"/>
    </row>
    <row r="42" ht="14.25">
      <c r="A42">
        <f t="shared" si="8"/>
        <v>40</v>
      </c>
      <c r="B42" s="6"/>
    </row>
    <row r="43" ht="14.25">
      <c r="A43">
        <f t="shared" si="8"/>
        <v>41</v>
      </c>
      <c r="B43" s="6"/>
    </row>
    <row r="44" ht="14.25">
      <c r="A44">
        <f t="shared" si="8"/>
        <v>42</v>
      </c>
      <c r="B44" s="6"/>
    </row>
    <row r="45" ht="14.25">
      <c r="A45">
        <f t="shared" si="8"/>
        <v>43</v>
      </c>
      <c r="B45" s="6"/>
    </row>
    <row r="46" ht="14.25">
      <c r="A46">
        <f t="shared" si="8"/>
        <v>44</v>
      </c>
      <c r="B46" s="6"/>
    </row>
    <row r="47" ht="14.25">
      <c r="A47">
        <f t="shared" si="8"/>
        <v>45</v>
      </c>
      <c r="B47" s="6"/>
    </row>
    <row r="48" ht="14.25">
      <c r="A48">
        <f t="shared" si="8"/>
        <v>46</v>
      </c>
      <c r="B48" s="6"/>
    </row>
    <row r="49" ht="14.25">
      <c r="A49">
        <f t="shared" si="8"/>
        <v>47</v>
      </c>
      <c r="B49" s="6"/>
    </row>
    <row r="50" ht="14.25">
      <c r="A50">
        <f t="shared" si="8"/>
        <v>48</v>
      </c>
      <c r="B50" s="6"/>
    </row>
    <row r="51" ht="14.25">
      <c r="A51">
        <f t="shared" si="8"/>
        <v>49</v>
      </c>
      <c r="B51" s="6"/>
    </row>
    <row r="52" ht="14.25">
      <c r="A52">
        <f t="shared" si="8"/>
        <v>50</v>
      </c>
      <c r="B52" s="6"/>
    </row>
    <row r="53" ht="14.25">
      <c r="A53">
        <f t="shared" si="8"/>
        <v>51</v>
      </c>
      <c r="B53" s="6"/>
    </row>
    <row r="54" ht="14.25">
      <c r="A54">
        <f t="shared" si="8"/>
        <v>52</v>
      </c>
      <c r="B54" s="6"/>
    </row>
    <row r="55" ht="14.25">
      <c r="A55">
        <f t="shared" si="8"/>
        <v>53</v>
      </c>
      <c r="B55" s="6"/>
    </row>
    <row r="56" ht="14.25">
      <c r="A56">
        <f t="shared" si="8"/>
        <v>54</v>
      </c>
      <c r="B56" s="6"/>
    </row>
    <row r="57" ht="14.25">
      <c r="A57">
        <f t="shared" si="8"/>
        <v>55</v>
      </c>
      <c r="B57" s="6"/>
    </row>
    <row r="58" ht="14.25">
      <c r="A58">
        <f t="shared" si="8"/>
        <v>56</v>
      </c>
      <c r="B58" s="6"/>
    </row>
    <row r="59" ht="14.25">
      <c r="A59">
        <f t="shared" si="8"/>
        <v>57</v>
      </c>
      <c r="B59" s="6"/>
    </row>
    <row r="60" ht="14.25">
      <c r="A60">
        <f t="shared" si="8"/>
        <v>58</v>
      </c>
      <c r="B60" s="6"/>
    </row>
    <row r="61" ht="14.25">
      <c r="A61">
        <f t="shared" si="8"/>
        <v>59</v>
      </c>
      <c r="B61" s="6"/>
    </row>
    <row r="62" ht="14.25">
      <c r="A62">
        <f t="shared" si="8"/>
        <v>60</v>
      </c>
      <c r="B62" s="6"/>
    </row>
    <row r="63" ht="14.25">
      <c r="A63">
        <f t="shared" si="8"/>
        <v>61</v>
      </c>
      <c r="B63" s="6"/>
    </row>
    <row r="64" ht="14.25">
      <c r="A64">
        <f t="shared" si="8"/>
        <v>62</v>
      </c>
      <c r="B64" s="6"/>
    </row>
    <row r="65" ht="14.25">
      <c r="A65">
        <f t="shared" si="8"/>
        <v>63</v>
      </c>
      <c r="B65" s="6"/>
    </row>
    <row r="66" ht="14.25">
      <c r="A66">
        <f t="shared" si="8"/>
        <v>64</v>
      </c>
      <c r="B66" s="6"/>
    </row>
    <row r="67" ht="14.25">
      <c r="B67" s="6"/>
    </row>
    <row r="68" ht="14.25">
      <c r="B68" s="6"/>
    </row>
    <row r="69" ht="14.25">
      <c r="B69" s="6"/>
    </row>
    <row r="70" ht="14.25">
      <c r="B70" s="6"/>
    </row>
    <row r="71" ht="14.25">
      <c r="B71" s="6"/>
    </row>
    <row r="72" ht="14.25">
      <c r="B72" s="6"/>
    </row>
    <row r="73" ht="14.25">
      <c r="B73" s="6"/>
    </row>
    <row r="74" ht="14.25">
      <c r="B74" s="6"/>
    </row>
    <row r="75" ht="14.25">
      <c r="B75" s="6"/>
    </row>
    <row r="76" ht="14.25">
      <c r="B76" s="6"/>
    </row>
    <row r="77" ht="14.25">
      <c r="B77" s="6"/>
    </row>
    <row r="78" ht="14.25">
      <c r="B78" s="6"/>
    </row>
    <row r="79" ht="14.25">
      <c r="B79" s="6"/>
    </row>
    <row r="80" ht="14.25">
      <c r="B80" s="6"/>
    </row>
    <row r="81" ht="14.25">
      <c r="B81" s="6"/>
    </row>
    <row r="82" ht="14.25">
      <c r="B82" s="6"/>
    </row>
    <row r="83" ht="14.25">
      <c r="B83" s="6"/>
    </row>
    <row r="84" ht="14.25">
      <c r="B84" s="6"/>
    </row>
    <row r="85" ht="14.25">
      <c r="B85" s="6"/>
    </row>
    <row r="86" ht="14.25">
      <c r="B86" s="6"/>
    </row>
    <row r="87" ht="14.25">
      <c r="B87" s="6"/>
    </row>
    <row r="88" ht="14.25">
      <c r="B88" s="6"/>
    </row>
    <row r="89" ht="14.25">
      <c r="B89" s="6"/>
    </row>
    <row r="90" ht="14.25">
      <c r="B90" s="6"/>
    </row>
    <row r="91" ht="14.25">
      <c r="B91" s="6"/>
    </row>
    <row r="92" ht="14.25">
      <c r="B92" s="6"/>
    </row>
    <row r="93" ht="14.25">
      <c r="B93" s="6"/>
    </row>
    <row r="94" ht="14.25">
      <c r="B94" s="6"/>
    </row>
    <row r="95" ht="14.25">
      <c r="B95" s="6"/>
    </row>
    <row r="96" ht="14.25">
      <c r="B96" s="6"/>
    </row>
    <row r="97" ht="14.25">
      <c r="B97" s="6"/>
    </row>
    <row r="98" ht="14.25">
      <c r="B98" s="6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3</cp:revision>
  <dcterms:modified xsi:type="dcterms:W3CDTF">2026-08-13T00:14:32Z</dcterms:modified>
</cp:coreProperties>
</file>