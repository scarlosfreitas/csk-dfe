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Gerador" sheetId="1" state="visible" r:id="rId1"/>
    <sheet name="Esboço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<sst xmlns="http://schemas.openxmlformats.org/spreadsheetml/2006/main" count="63" uniqueCount="63">
  <si>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Construção</t>
  </si>
  <si>
    <t xml:space="preserve">Ano referência</t>
  </si>
  <si>
    <t>Final</t>
  </si>
  <si>
    <t>Data</t>
  </si>
  <si>
    <t>Hora</t>
  </si>
  <si>
    <t>controle</t>
  </si>
  <si>
    <t>ano</t>
  </si>
  <si>
    <t>mes</t>
  </si>
  <si>
    <t>dias</t>
  </si>
  <si>
    <t>horas</t>
  </si>
  <si>
    <t>minutos</t>
  </si>
  <si>
    <t>segundos</t>
  </si>
  <si>
    <t>modelo</t>
  </si>
  <si>
    <t>sequencial</t>
  </si>
  <si>
    <t>worker</t>
  </si>
  <si>
    <t>sub</t>
  </si>
  <si>
    <t>chave</t>
  </si>
  <si>
    <t>Parte</t>
  </si>
  <si>
    <t>Tamanho</t>
  </si>
  <si>
    <t xml:space="preserve">Capacidade Prática</t>
  </si>
  <si>
    <t xml:space="preserve">Sinal (Controle)</t>
  </si>
  <si>
    <t xml:space="preserve">1 bit</t>
  </si>
  <si>
    <t xml:space="preserve">Reservado (para garantir que o número seja sempre positivo em bancos de dados).</t>
  </si>
  <si>
    <t xml:space="preserve">Data (dias)</t>
  </si>
  <si>
    <t xml:space="preserve">14 bits</t>
  </si>
  <si>
    <t xml:space="preserve">Pode contar dias por 44,89 anos a partir de uma data de início customizada (ex: 01/01/2005) chegando até 19/01/2049.</t>
  </si>
  <si>
    <t xml:space="preserve">Tempo (Segundos)</t>
  </si>
  <si>
    <t xml:space="preserve">17 bits</t>
  </si>
  <si>
    <r>
      <rPr>
        <sz val="8"/>
        <color indexed="64"/>
        <rFont val="Times New Roman"/>
      </rPr>
      <t xml:space="preserve">Pode contar segundos por </t>
    </r>
    <r>
      <rPr>
        <b/>
        <sz val="8"/>
        <color indexed="64"/>
        <rFont val="Times New Roman"/>
      </rPr>
      <t xml:space="preserve">67,91 anos</t>
    </r>
    <r>
      <rPr>
        <sz val="8"/>
        <color indexed="64"/>
        <rFont val="Times New Roman"/>
      </rPr>
      <t xml:space="preserve"> a partir de uma data de início customizada (ex: 01/01/2000) chegando até 19/01/2068.</t>
    </r>
  </si>
  <si>
    <t xml:space="preserve">Modelo de Documento</t>
  </si>
  <si>
    <t xml:space="preserve">8 bits</t>
  </si>
  <si>
    <t xml:space="preserve">Podem ser cadastrados até 256 modelos de documento fiscal ou contábil. Se construido do bit da esqueda para a direita, aumenta a capacidade de geração</t>
  </si>
  <si>
    <t>Sequencial</t>
  </si>
  <si>
    <t xml:space="preserve">Permite extrair até 128.000 notas por segundo no mesmo worker, sem colisão. Se o modelo do documento for ao contrário, a não utilização do sequencial pode ser transferido para o modelo.</t>
  </si>
  <si>
    <t xml:space="preserve">ID do Worker</t>
  </si>
  <si>
    <t xml:space="preserve">7 bits</t>
  </si>
  <si>
    <r>
      <rPr>
        <sz val="8"/>
        <color indexed="64"/>
        <rFont val="Times New Roman"/>
      </rPr>
      <t xml:space="preserve">Permite até </t>
    </r>
    <r>
      <rPr>
        <b/>
        <sz val="8"/>
        <color indexed="64"/>
        <rFont val="Times New Roman"/>
      </rPr>
      <t>64</t>
    </r>
    <r>
      <rPr>
        <sz val="8"/>
        <color indexed="64"/>
        <rFont val="Times New Roman"/>
      </rPr>
      <t xml:space="preserve"> containers rodando paralelamente.</t>
    </r>
  </si>
  <si>
    <t>TOTAL</t>
  </si>
  <si>
    <t xml:space="preserve">64 bits</t>
  </si>
  <si>
    <r>
      <rPr>
        <sz val="12"/>
        <color indexed="64"/>
        <rFont val="Times New Roman"/>
      </rPr>
      <t xml:space="preserve">Cabe perfeitamente num campo </t>
    </r>
    <r>
      <rPr>
        <sz val="10"/>
        <color indexed="64"/>
        <rFont val="Courier New"/>
      </rPr>
      <t>BIGINT</t>
    </r>
    <r>
      <rPr>
        <sz val="12"/>
        <color indexed="64"/>
        <rFont val="Times New Roman"/>
      </rPr>
      <t xml:space="preserve"> do Postgres ou DuckDB.</t>
    </r>
  </si>
  <si>
    <t>Amapá</t>
  </si>
  <si>
    <t>Brasil</t>
  </si>
  <si>
    <t>População</t>
  </si>
  <si>
    <t>Notas/(mês.pessoal)</t>
  </si>
  <si>
    <t>Notas/mês</t>
  </si>
  <si>
    <t xml:space="preserve">Dias de pico</t>
  </si>
  <si>
    <t xml:space="preserve">Horas de pico</t>
  </si>
  <si>
    <t>Arq/segundo</t>
  </si>
  <si>
    <t>Workers</t>
  </si>
  <si>
    <t>Arq/(seg.worker)</t>
  </si>
  <si>
    <t xml:space="preserve">Sequencial/seg 1w</t>
  </si>
  <si>
    <t xml:space="preserve">Sequencial/seg 2w</t>
  </si>
  <si>
    <t xml:space="preserve">Sequencial/seg 8w</t>
  </si>
  <si>
    <t xml:space="preserve">Sequencial/seg 16w</t>
  </si>
  <si>
    <t xml:space="preserve">Sequencial/seg 32w</t>
  </si>
  <si>
    <t xml:space="preserve">Sequencial/seg 64w</t>
  </si>
  <si>
    <t>milisegundo</t>
  </si>
  <si>
    <t>aletaorio</t>
  </si>
  <si>
    <t>estado</t>
  </si>
  <si>
    <t>cnpj</t>
  </si>
  <si>
    <t>dig</t>
  </si>
  <si>
    <t>serie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</si>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</sst>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_-* #,##0.00_-;\-* #,##0.00_-;_-* &quot;-&quot;??_-;_-@_-"/>
    <numFmt numFmtId="166" formatCode="_-* #,##0_-;&quot;-&quot;* #,##0_-;_-* &quot;-&quot;??_-;_-@_-"/>
  </numFmts>
  <fonts count="6">
    <font>
      <sz val="11.000000"/>
      <color theme="1"/>
      <name val="Calibri"/>
      <scheme val="minor"/>
    </font>
    <font>
      <sz val="8.000000"/>
      <color theme="1"/>
      <name val="Calibri"/>
      <scheme val="minor"/>
    </font>
    <font>
      <b/>
      <sz val="8.000000"/>
      <color indexed="64"/>
      <name val="Times New Roman"/>
    </font>
    <font>
      <sz val="8.000000"/>
      <color indexed="64"/>
      <name val="Times New Roman"/>
    </font>
    <font>
      <b/>
      <sz val="12.000000"/>
      <color indexed="64"/>
      <name val="Times New Roman"/>
    </font>
    <font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25">
    <xf fontId="0" fillId="0" borderId="0" numFmtId="0" xfId="0"/>
    <xf fontId="1" fillId="0" borderId="0" numFmtId="14" xfId="0" applyNumberFormat="1" applyFont="1"/>
    <xf fontId="1" fillId="0" borderId="0" numFmtId="164" xfId="0" applyNumberFormat="1" applyFont="1"/>
    <xf fontId="1" fillId="0" borderId="0" numFmtId="14" xfId="0" applyNumberFormat="1" applyFont="1"/>
    <xf fontId="1" fillId="0" borderId="0" numFmtId="164" xfId="0" applyNumberFormat="1" applyFont="1"/>
    <xf fontId="0" fillId="0" borderId="0" numFmtId="0" xfId="0" applyAlignment="1">
      <alignment horizontal="center"/>
    </xf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165" xfId="1" applyNumberFormat="1">
      <protection hidden="0" locked="1"/>
    </xf>
    <xf fontId="0" fillId="0" borderId="0" numFmtId="165" xfId="1" applyNumberFormat="1"/>
    <xf fontId="0" fillId="0" borderId="0" numFmtId="165" xfId="0" applyNumberFormat="1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1" fillId="0" borderId="0" numFmtId="0" xfId="0" applyFont="1"/>
    <xf fontId="0" fillId="0" borderId="0" numFmtId="166" xfId="1" applyNumberFormat="1"/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/>
    </xf>
    <xf fontId="1" fillId="0" borderId="0" numFmtId="0" xfId="0" applyFont="1">
      <protection hidden="0" locked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/>
    </xf>
    <xf fontId="0" fillId="0" borderId="0" numFmtId="0" xfId="0"/>
    <xf fontId="0" fillId="0" borderId="0" numFmtId="166" xfId="1" applyNumberFormat="1"/>
    <xf fontId="0" fillId="0" borderId="0" numFmtId="14" xfId="0" applyNumberFormat="1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1" max="1" width="19.00390625"/>
    <col bestFit="1" min="2" max="2" width="20.171875"/>
    <col customWidth="1" min="3" max="3" width="16.28125"/>
    <col bestFit="1" min="4" max="4" width="10.93359375"/>
    <col bestFit="1" min="5" max="5" width="11.28125"/>
    <col bestFit="1" min="6" max="6" width="16.9609375"/>
    <col bestFit="1" min="7" max="7" width="11.28125"/>
    <col min="8" max="8" width="11.28125"/>
    <col bestFit="1" min="9" max="9" width="11.921875"/>
    <col bestFit="1" customWidth="1" min="10" max="10" width="15.3515625"/>
    <col bestFit="1" min="11" max="11" width="9.7109375"/>
    <col bestFit="1" min="13" max="13" width="11.36328125"/>
  </cols>
  <sheetData>
    <row r="1" ht="14.25">
      <c r="A1" t="s">
        <v>0</v>
      </c>
    </row>
    <row r="3" ht="14.25">
      <c r="A3" t="s">
        <v>1</v>
      </c>
      <c r="B3" t="s">
        <v>2</v>
      </c>
    </row>
    <row r="4" ht="14.25">
      <c r="A4" s="1">
        <f>DATE(2005,1,1)</f>
        <v>38353</v>
      </c>
      <c r="B4" s="2">
        <f>A4+B11*365</f>
        <v>71121</v>
      </c>
    </row>
    <row r="5" ht="14.25">
      <c r="A5" s="3"/>
      <c r="B5" s="4"/>
    </row>
    <row r="6" ht="14.25">
      <c r="A6" s="3"/>
      <c r="B6" s="4"/>
    </row>
    <row r="7" ht="14.25">
      <c r="A7" s="3"/>
      <c r="B7" s="4"/>
    </row>
    <row r="8" ht="14.25">
      <c r="A8" s="3"/>
      <c r="B8" s="4"/>
    </row>
    <row r="9" ht="14.25">
      <c r="B9" s="5" t="s">
        <v>3</v>
      </c>
      <c r="C9" s="5"/>
      <c r="D9" s="5"/>
      <c r="E9" s="5" t="s">
        <v>4</v>
      </c>
      <c r="F9" s="5"/>
      <c r="G9" s="5"/>
    </row>
    <row r="10" ht="14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s="6" t="s">
        <v>12</v>
      </c>
      <c r="I10" s="7" t="s">
        <v>13</v>
      </c>
      <c r="J10" s="8" t="s">
        <v>14</v>
      </c>
      <c r="M10" t="s">
        <v>15</v>
      </c>
    </row>
    <row r="11" ht="14.25">
      <c r="A11" s="9"/>
      <c r="B11" s="9">
        <f>2^D14/365</f>
        <v>89.775342465753425</v>
      </c>
      <c r="C11" s="9">
        <v>12</v>
      </c>
      <c r="D11" s="9">
        <v>31</v>
      </c>
      <c r="E11" s="9">
        <v>24</v>
      </c>
      <c r="F11" s="9">
        <v>60</v>
      </c>
      <c r="G11" s="9">
        <v>60</v>
      </c>
      <c r="H11" s="9">
        <f>2^H14</f>
        <v>128</v>
      </c>
      <c r="I11" s="9">
        <f>2^I14</f>
        <v>131072</v>
      </c>
      <c r="J11" s="9">
        <f>2^J14</f>
        <v>128</v>
      </c>
      <c r="K11" s="10"/>
      <c r="L11" s="10"/>
      <c r="M11" s="9"/>
      <c r="N11" s="10">
        <v>7</v>
      </c>
      <c r="O11" s="10">
        <v>2</v>
      </c>
    </row>
    <row r="12" ht="14.25">
      <c r="A12" s="9"/>
      <c r="B12" s="9">
        <f>PRODUCT($B11:B11)</f>
        <v>89.775342465753425</v>
      </c>
      <c r="C12" s="9">
        <f>PRODUCT($B11:C11)</f>
        <v>1077.3041095890412</v>
      </c>
      <c r="D12" s="9">
        <f>PRODUCT($B11:D11)</f>
        <v>33396.427397260275</v>
      </c>
      <c r="E12" s="9">
        <f>PRODUCT($E11:E11)</f>
        <v>24</v>
      </c>
      <c r="F12" s="9">
        <f>PRODUCT($E11:F11)</f>
        <v>1440</v>
      </c>
      <c r="G12" s="9">
        <f>PRODUCT($E11:G11)</f>
        <v>86400</v>
      </c>
      <c r="H12" s="9">
        <f>H11</f>
        <v>128</v>
      </c>
      <c r="I12" s="9">
        <f>I11</f>
        <v>131072</v>
      </c>
      <c r="J12" s="9">
        <f>J11</f>
        <v>128</v>
      </c>
      <c r="K12" s="10"/>
      <c r="L12" s="10"/>
      <c r="M12" s="9"/>
      <c r="N12" s="10">
        <f>2^N11</f>
        <v>128</v>
      </c>
      <c r="O12" s="10">
        <f>2^O11</f>
        <v>4</v>
      </c>
    </row>
    <row r="13" ht="14.25">
      <c r="A13" s="9"/>
      <c r="B13" s="9">
        <f>LOG(B12,2)</f>
        <v>6.4882473462326216</v>
      </c>
      <c r="C13" s="9">
        <f>LOG(C12,2)</f>
        <v>10.073209846953777</v>
      </c>
      <c r="D13" s="9">
        <f>LOG(D12,2)</f>
        <v>15.027406157340652</v>
      </c>
      <c r="E13" s="9">
        <f>LOG(E12,2)</f>
        <v>4.584962500721157</v>
      </c>
      <c r="F13" s="9">
        <f>LOG(F12,2)</f>
        <v>10.491853096329676</v>
      </c>
      <c r="G13" s="9">
        <f>LOG(G12,2)</f>
        <v>16.398743691938193</v>
      </c>
      <c r="H13" s="9">
        <f>LOG(H12,2)</f>
        <v>7</v>
      </c>
      <c r="I13" s="9">
        <f>LOG(I12,2)</f>
        <v>17</v>
      </c>
      <c r="J13" s="9">
        <f>LOG(J12,2)</f>
        <v>7</v>
      </c>
      <c r="K13" s="10"/>
      <c r="L13" s="10"/>
      <c r="M13" s="9"/>
      <c r="N13" s="10"/>
      <c r="O13" s="10"/>
    </row>
    <row r="14" ht="14.25">
      <c r="A14" s="10">
        <v>1</v>
      </c>
      <c r="B14" s="10"/>
      <c r="C14" s="10"/>
      <c r="D14" s="10">
        <v>15</v>
      </c>
      <c r="E14" s="10"/>
      <c r="F14" s="10"/>
      <c r="G14" s="10">
        <v>17</v>
      </c>
      <c r="H14" s="9">
        <f>64-SUM(I14:J14,A14:G14)</f>
        <v>7</v>
      </c>
      <c r="I14" s="10">
        <v>17</v>
      </c>
      <c r="J14" s="10">
        <v>7</v>
      </c>
      <c r="K14" s="10"/>
      <c r="L14" s="10"/>
      <c r="M14" s="9">
        <v>1</v>
      </c>
      <c r="N14" s="10"/>
      <c r="O14" s="10"/>
    </row>
    <row r="15" ht="14.25">
      <c r="A15" s="10"/>
      <c r="B15" s="10"/>
      <c r="C15" s="10"/>
      <c r="D15" s="10"/>
      <c r="E15" s="10"/>
      <c r="F15" s="10">
        <f>2^31</f>
        <v>2147483648</v>
      </c>
      <c r="G15" s="10">
        <f>F15/60/60/24/366</f>
        <v>67.910204412062328</v>
      </c>
      <c r="H15" s="10"/>
      <c r="I15" s="10"/>
      <c r="J15" s="10">
        <f>DATE(2000,1,1)+F15/60/60/24</f>
        <v>61381.13481481481</v>
      </c>
      <c r="K15" s="10"/>
      <c r="L15" s="10"/>
      <c r="M15" s="10"/>
      <c r="N15" s="10"/>
      <c r="O15" s="10"/>
    </row>
    <row r="16" ht="14.25">
      <c r="A16" s="10"/>
      <c r="B16" s="10"/>
      <c r="C16" s="10"/>
      <c r="D16" s="10"/>
      <c r="E16" s="10"/>
      <c r="F16" s="10"/>
      <c r="G16" s="10" t="s">
        <v>16</v>
      </c>
      <c r="H16" s="10"/>
      <c r="I16" s="10"/>
      <c r="J16" s="10">
        <f>LOG(10^44,2)</f>
        <v>146.16483617504394</v>
      </c>
      <c r="K16" s="10"/>
      <c r="L16" s="10"/>
      <c r="M16" s="10">
        <f>2^18</f>
        <v>262144</v>
      </c>
      <c r="N16" s="10"/>
      <c r="O16" s="10"/>
    </row>
    <row r="18" ht="14.25">
      <c r="J18" s="11">
        <f>J14-3</f>
        <v>4</v>
      </c>
    </row>
    <row r="19" ht="14.25">
      <c r="A19" s="12" t="s">
        <v>17</v>
      </c>
      <c r="B19" s="12" t="s">
        <v>18</v>
      </c>
      <c r="C19" s="13" t="s">
        <v>19</v>
      </c>
      <c r="D19" s="14"/>
      <c r="J19" s="15">
        <f>I12*2^4</f>
        <v>2097152</v>
      </c>
    </row>
    <row r="20" ht="14.25">
      <c r="A20" s="16" t="s">
        <v>20</v>
      </c>
      <c r="B20" s="17" t="s">
        <v>21</v>
      </c>
      <c r="C20" s="18" t="s">
        <v>22</v>
      </c>
      <c r="D20" s="14"/>
    </row>
    <row r="21" ht="14.25">
      <c r="A21" s="16" t="s">
        <v>23</v>
      </c>
      <c r="B21" s="17" t="s">
        <v>24</v>
      </c>
      <c r="C21" s="18" t="s">
        <v>25</v>
      </c>
      <c r="D21" s="19"/>
      <c r="E21" s="8"/>
      <c r="F21" s="8"/>
      <c r="G21" s="8"/>
      <c r="H21" s="8"/>
      <c r="I21" s="8"/>
      <c r="J21" s="8"/>
    </row>
    <row r="22" ht="14.25">
      <c r="A22" s="16" t="s">
        <v>26</v>
      </c>
      <c r="B22" s="17" t="s">
        <v>27</v>
      </c>
      <c r="C22" s="18" t="s">
        <v>28</v>
      </c>
      <c r="D22" s="14"/>
    </row>
    <row r="23" ht="14.25">
      <c r="A23" s="16" t="s">
        <v>29</v>
      </c>
      <c r="B23" s="17" t="s">
        <v>30</v>
      </c>
      <c r="C23" s="18" t="s">
        <v>31</v>
      </c>
      <c r="D23" s="14"/>
    </row>
    <row r="24" ht="14.25">
      <c r="A24" s="16" t="s">
        <v>32</v>
      </c>
      <c r="B24" s="17" t="s">
        <v>27</v>
      </c>
      <c r="C24" s="18" t="s">
        <v>33</v>
      </c>
      <c r="D24" s="14"/>
    </row>
    <row r="25" ht="14.25">
      <c r="A25" s="16" t="s">
        <v>34</v>
      </c>
      <c r="B25" s="17" t="s">
        <v>35</v>
      </c>
      <c r="C25" s="18" t="s">
        <v>36</v>
      </c>
      <c r="D25" s="14"/>
    </row>
    <row r="26" ht="15.75">
      <c r="A26" s="20" t="s">
        <v>37</v>
      </c>
      <c r="B26" s="20" t="s">
        <v>38</v>
      </c>
      <c r="C26" s="21" t="s">
        <v>39</v>
      </c>
    </row>
    <row r="28" ht="14.25">
      <c r="B28" t="s">
        <v>40</v>
      </c>
      <c r="C28" s="6" t="s">
        <v>41</v>
      </c>
    </row>
    <row r="29" ht="14.25">
      <c r="A29" t="s">
        <v>42</v>
      </c>
      <c r="B29" s="15">
        <v>750000</v>
      </c>
      <c r="C29" s="15">
        <v>300000000</v>
      </c>
    </row>
    <row r="30" ht="14.25">
      <c r="A30" t="s">
        <v>43</v>
      </c>
      <c r="B30" s="15">
        <v>8</v>
      </c>
      <c r="C30" s="15">
        <v>60</v>
      </c>
    </row>
    <row r="31" ht="14.25">
      <c r="A31" t="s">
        <v>44</v>
      </c>
      <c r="B31" s="15">
        <f>B29*B30</f>
        <v>6000000</v>
      </c>
      <c r="C31" s="15">
        <f>C29*C30</f>
        <v>18000000000</v>
      </c>
    </row>
    <row r="32" ht="14.25">
      <c r="A32" s="22" t="s">
        <v>45</v>
      </c>
      <c r="B32" s="23">
        <v>5</v>
      </c>
      <c r="C32" s="15">
        <v>5</v>
      </c>
    </row>
    <row r="33" ht="14.25">
      <c r="A33" t="s">
        <v>46</v>
      </c>
      <c r="B33">
        <v>2</v>
      </c>
      <c r="C33" s="8">
        <v>2</v>
      </c>
    </row>
    <row r="34" ht="14.25">
      <c r="A34" t="s">
        <v>47</v>
      </c>
      <c r="B34" s="10">
        <f>B31/(31*B32/7*B33*3600)</f>
        <v>37.634408602150536</v>
      </c>
      <c r="C34" s="10">
        <f>C31/(31*C32/7*C33*3600)</f>
        <v>112903.22580645162</v>
      </c>
    </row>
    <row r="35" ht="14.25">
      <c r="A35" t="s">
        <v>48</v>
      </c>
      <c r="B35">
        <v>4</v>
      </c>
      <c r="C35">
        <v>4</v>
      </c>
    </row>
    <row r="36" ht="14.25">
      <c r="A36" t="s">
        <v>49</v>
      </c>
      <c r="B36" s="9">
        <f>B34/B35</f>
        <v>9.408602150537634</v>
      </c>
      <c r="C36" s="15">
        <f>C34/C35</f>
        <v>28225.806451612905</v>
      </c>
    </row>
    <row r="37" ht="14.25">
      <c r="A37" t="s">
        <v>50</v>
      </c>
      <c r="B37">
        <f>2^17</f>
        <v>131072</v>
      </c>
      <c r="D37">
        <v>1</v>
      </c>
    </row>
    <row r="38" ht="14.25">
      <c r="A38" s="6" t="s">
        <v>51</v>
      </c>
      <c r="D38">
        <v>2</v>
      </c>
    </row>
    <row r="39" ht="14.25">
      <c r="A39" s="6" t="s">
        <v>52</v>
      </c>
      <c r="D39">
        <v>8</v>
      </c>
    </row>
    <row r="40" ht="14.25">
      <c r="A40" s="6" t="s">
        <v>53</v>
      </c>
      <c r="D40">
        <v>16</v>
      </c>
    </row>
    <row r="41" ht="14.25">
      <c r="A41" s="6" t="s">
        <v>54</v>
      </c>
      <c r="D41">
        <v>32</v>
      </c>
    </row>
    <row r="42" ht="14.25">
      <c r="A42" s="6" t="s">
        <v>55</v>
      </c>
      <c r="D42">
        <v>64</v>
      </c>
    </row>
    <row r="43" ht="14.25">
      <c r="A43" s="6"/>
    </row>
    <row r="44" ht="14.25">
      <c r="A44" s="6"/>
    </row>
  </sheetData>
  <mergeCells count="2">
    <mergeCell ref="B9:D9"/>
    <mergeCell ref="E9:G9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4" max="14" width="11.28125"/>
    <col bestFit="1" min="15" max="15" width="10.7109375"/>
    <col bestFit="1" min="16" max="16" width="11.28125"/>
    <col bestFit="1" customWidth="1" min="17" max="17" width="11.28125"/>
    <col bestFit="1" min="18" max="18" width="9.7109375"/>
  </cols>
  <sheetData>
    <row r="7" ht="14.25"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56</v>
      </c>
      <c r="R7" t="s">
        <v>14</v>
      </c>
      <c r="S7" t="s">
        <v>57</v>
      </c>
    </row>
    <row r="8" ht="14.25">
      <c r="K8">
        <f>2040-2005</f>
        <v>35</v>
      </c>
      <c r="L8">
        <v>12</v>
      </c>
      <c r="M8">
        <v>31</v>
      </c>
      <c r="N8" s="8">
        <v>24</v>
      </c>
      <c r="O8" s="8">
        <v>60</v>
      </c>
      <c r="P8" s="8">
        <v>60</v>
      </c>
      <c r="Q8">
        <v>1000</v>
      </c>
      <c r="R8">
        <f>2^10</f>
        <v>1024</v>
      </c>
      <c r="S8" s="8">
        <f>2^12</f>
        <v>4096</v>
      </c>
    </row>
    <row r="9" ht="14.25">
      <c r="K9" s="8">
        <f>PRODUCT($K8:K8)</f>
        <v>35</v>
      </c>
      <c r="L9">
        <f>PRODUCT($K8:L8)</f>
        <v>420</v>
      </c>
      <c r="M9">
        <f>PRODUCT($K8:M8)</f>
        <v>13020</v>
      </c>
      <c r="N9" s="8">
        <f>PRODUCT($K8:N8)</f>
        <v>312480</v>
      </c>
      <c r="O9" s="8">
        <f>PRODUCT($K8:O8)</f>
        <v>18748800</v>
      </c>
      <c r="P9" s="8">
        <f>PRODUCT($K8:P8)</f>
        <v>1124928000</v>
      </c>
      <c r="Q9" s="8">
        <f>PRODUCT($K8:Q8)</f>
        <v>1124928000000</v>
      </c>
      <c r="R9" s="8">
        <f>R8</f>
        <v>1024</v>
      </c>
      <c r="S9" s="8">
        <f>S8</f>
        <v>4096</v>
      </c>
    </row>
    <row r="10" ht="14.25">
      <c r="J10">
        <v>1</v>
      </c>
      <c r="K10">
        <f>LOG(K9,2)</f>
        <v>5.1292830169449664</v>
      </c>
      <c r="L10" s="8">
        <f>LOG(L9,2)</f>
        <v>8.7142455176661233</v>
      </c>
      <c r="M10" s="8">
        <f>LOG(M9,2)</f>
        <v>13.668441828052998</v>
      </c>
      <c r="N10" s="8">
        <f>LOG(N9,2)</f>
        <v>18.253404328774153</v>
      </c>
      <c r="O10" s="8">
        <f>LOG(O9,2)</f>
        <v>24.160294924382672</v>
      </c>
      <c r="P10" s="8">
        <f>LOG(P9,2)</f>
        <v>30.067185519991192</v>
      </c>
      <c r="Q10" s="8">
        <f>LOG(Q9,2)</f>
        <v>40.032969804653277</v>
      </c>
      <c r="R10" s="8">
        <f>LOG(R9,2)</f>
        <v>10</v>
      </c>
      <c r="S10" s="8">
        <f>LOG(S9,2)</f>
        <v>12</v>
      </c>
    </row>
    <row r="13" ht="14.25">
      <c r="P13">
        <f>2^30</f>
        <v>1073741824</v>
      </c>
    </row>
    <row r="14" ht="14.25">
      <c r="P14">
        <f>LOG10(P13)</f>
        <v>9.0308998699194341</v>
      </c>
    </row>
    <row r="16" ht="14.25">
      <c r="J16" t="s">
        <v>5</v>
      </c>
      <c r="K16" t="s">
        <v>6</v>
      </c>
      <c r="L16" t="s">
        <v>7</v>
      </c>
      <c r="M16" t="s">
        <v>8</v>
      </c>
      <c r="N16" t="s">
        <v>9</v>
      </c>
      <c r="O16" t="s">
        <v>10</v>
      </c>
      <c r="P16" t="s">
        <v>11</v>
      </c>
      <c r="Q16" s="8" t="s">
        <v>14</v>
      </c>
      <c r="R16" s="8" t="s">
        <v>57</v>
      </c>
      <c r="S16" s="6" t="s">
        <v>12</v>
      </c>
      <c r="T16" t="s">
        <v>15</v>
      </c>
    </row>
    <row r="17" ht="14.25">
      <c r="J17" s="8"/>
      <c r="K17" s="8">
        <f>2040-2005</f>
        <v>35</v>
      </c>
      <c r="L17" s="8">
        <v>12</v>
      </c>
      <c r="M17" s="8">
        <v>31</v>
      </c>
      <c r="N17" s="8">
        <v>24</v>
      </c>
      <c r="O17" s="8">
        <v>60</v>
      </c>
      <c r="P17" s="8">
        <v>60</v>
      </c>
      <c r="Q17" s="8">
        <v>64</v>
      </c>
      <c r="R17" s="8">
        <f>2^12*1000/4/2</f>
        <v>512000</v>
      </c>
      <c r="S17" s="8">
        <f>2^S20</f>
        <v>256</v>
      </c>
      <c r="T17" s="8"/>
      <c r="U17">
        <v>7</v>
      </c>
      <c r="V17">
        <v>2</v>
      </c>
    </row>
    <row r="18" ht="14.25">
      <c r="J18" s="8"/>
      <c r="K18" s="8">
        <f>PRODUCT($K17:K17)</f>
        <v>35</v>
      </c>
      <c r="L18" s="8">
        <f>PRODUCT($K17:L17)</f>
        <v>420</v>
      </c>
      <c r="M18" s="8">
        <f>PRODUCT($K17:M17)</f>
        <v>13020</v>
      </c>
      <c r="N18" s="8">
        <f>PRODUCT($N17:N17)</f>
        <v>24</v>
      </c>
      <c r="O18" s="8">
        <f>PRODUCT($N17:O17)</f>
        <v>1440</v>
      </c>
      <c r="P18" s="8">
        <f>PRODUCT($N17:P17)</f>
        <v>86400</v>
      </c>
      <c r="Q18" s="8">
        <f>Q17</f>
        <v>64</v>
      </c>
      <c r="R18" s="8">
        <f>R17</f>
        <v>512000</v>
      </c>
      <c r="S18" s="8">
        <f>S17</f>
        <v>256</v>
      </c>
      <c r="T18" s="8"/>
      <c r="U18">
        <f>2^U17</f>
        <v>128</v>
      </c>
      <c r="V18">
        <f>2^V17</f>
        <v>4</v>
      </c>
    </row>
    <row r="19" ht="14.25">
      <c r="J19" s="8">
        <v>1</v>
      </c>
      <c r="K19" s="8">
        <f>LOG(K18,2)</f>
        <v>5.1292830169449664</v>
      </c>
      <c r="L19" s="8">
        <f>LOG(L18,2)</f>
        <v>8.7142455176661233</v>
      </c>
      <c r="M19" s="8">
        <f>LOG(M18,2)</f>
        <v>13.668441828052998</v>
      </c>
      <c r="N19" s="8">
        <f>LOG(N18,2)</f>
        <v>4.584962500721157</v>
      </c>
      <c r="O19" s="8">
        <f>LOG(O18,2)</f>
        <v>10.491853096329676</v>
      </c>
      <c r="P19" s="8">
        <f>LOG(P18,2)</f>
        <v>16.398743691938193</v>
      </c>
      <c r="Q19" s="8">
        <f>LOG(Q18,2)</f>
        <v>6</v>
      </c>
      <c r="R19" s="8">
        <f>LOG(R18,2)</f>
        <v>18.965784284662089</v>
      </c>
      <c r="S19" s="8">
        <f>LOG(S18,2)</f>
        <v>8</v>
      </c>
      <c r="T19" s="8"/>
    </row>
    <row r="20" ht="14.25">
      <c r="M20">
        <v>14</v>
      </c>
      <c r="P20">
        <v>17</v>
      </c>
      <c r="Q20">
        <v>6</v>
      </c>
      <c r="R20">
        <v>18</v>
      </c>
      <c r="S20" s="8">
        <f>64-SUM(T20,M20:R20)</f>
        <v>8</v>
      </c>
      <c r="T20" s="8">
        <v>1</v>
      </c>
    </row>
    <row r="21" ht="14.25">
      <c r="O21">
        <f>2^31</f>
        <v>2147483648</v>
      </c>
      <c r="P21">
        <f>O21/60/60/24/366</f>
        <v>67.910204412062328</v>
      </c>
      <c r="Q21" s="24">
        <f>DATE(2000,1,1)+O21/60/60/24</f>
        <v>61381.13481481481</v>
      </c>
    </row>
    <row r="22" ht="14.25">
      <c r="P22" t="s">
        <v>16</v>
      </c>
      <c r="Q22">
        <f>LOG(10^44,2)</f>
        <v>146.16483617504394</v>
      </c>
      <c r="T22">
        <f>2^18</f>
        <v>262144</v>
      </c>
    </row>
    <row r="25" ht="14.25">
      <c r="J25" s="8" t="s">
        <v>5</v>
      </c>
      <c r="K25" s="8" t="s">
        <v>6</v>
      </c>
      <c r="L25" s="8" t="s">
        <v>7</v>
      </c>
      <c r="M25" s="7" t="s">
        <v>58</v>
      </c>
      <c r="N25" s="7" t="s">
        <v>59</v>
      </c>
      <c r="O25" s="7" t="s">
        <v>60</v>
      </c>
      <c r="P25" s="7" t="s">
        <v>12</v>
      </c>
      <c r="Q25" s="7" t="s">
        <v>61</v>
      </c>
      <c r="R25" s="7" t="s">
        <v>62</v>
      </c>
    </row>
    <row r="26" ht="14.25">
      <c r="J26" s="8"/>
      <c r="K26" s="8">
        <f>2040-2005</f>
        <v>35</v>
      </c>
      <c r="L26" s="8">
        <v>12</v>
      </c>
      <c r="M26" s="8">
        <v>27</v>
      </c>
      <c r="N26" s="8">
        <f>(10+27-4)^12</f>
        <v>1.6678895149529851e+18</v>
      </c>
      <c r="O26" s="8">
        <v>99</v>
      </c>
      <c r="P26" s="8">
        <v>99</v>
      </c>
      <c r="Q26" s="8">
        <v>999</v>
      </c>
      <c r="R26" s="8">
        <v>999999999</v>
      </c>
    </row>
    <row r="27" ht="14.25">
      <c r="J27" s="8"/>
      <c r="K27" s="8">
        <f>PRODUCT($K26:K26)</f>
        <v>35</v>
      </c>
      <c r="L27" s="8">
        <f>PRODUCT($K26:L26)</f>
        <v>420</v>
      </c>
      <c r="M27" s="8">
        <f>M26</f>
        <v>27</v>
      </c>
      <c r="N27" s="8">
        <f>N26</f>
        <v>1.6678895149529851e+18</v>
      </c>
      <c r="O27" s="8">
        <f>O26</f>
        <v>99</v>
      </c>
      <c r="P27" s="8">
        <f>P26</f>
        <v>99</v>
      </c>
      <c r="Q27" s="8">
        <f>Q26</f>
        <v>999</v>
      </c>
      <c r="R27" s="8">
        <f>R26</f>
        <v>999999999</v>
      </c>
    </row>
    <row r="28" ht="14.25">
      <c r="J28" s="8">
        <v>1</v>
      </c>
      <c r="K28" s="8">
        <f>LOG(K27,2)</f>
        <v>5.1292830169449664</v>
      </c>
      <c r="L28" s="8">
        <f>LOG(L27,2)</f>
        <v>8.7142455176661233</v>
      </c>
      <c r="M28" s="8">
        <f>LOG(M27,2)</f>
        <v>4.7548875021634691</v>
      </c>
      <c r="N28" s="8">
        <f>LOG(N27,2)</f>
        <v>60.532729432301444</v>
      </c>
      <c r="O28" s="8">
        <f>LOG(O27,2)</f>
        <v>6.6293566200796095</v>
      </c>
      <c r="P28" s="8">
        <f>LOG(P27,2)</f>
        <v>6.6293566200796095</v>
      </c>
      <c r="Q28" s="8">
        <f>LOG(Q27,2)</f>
        <v>9.9643408677924192</v>
      </c>
      <c r="R28" s="8">
        <f>LOG(R27,2)</f>
        <v>29.897352852543566</v>
      </c>
    </row>
    <row r="29" ht="14.25">
      <c r="L29">
        <v>9</v>
      </c>
      <c r="M29">
        <v>5</v>
      </c>
      <c r="N29">
        <v>61</v>
      </c>
      <c r="O29">
        <v>7</v>
      </c>
      <c r="P29">
        <v>7</v>
      </c>
      <c r="Q29">
        <v>10</v>
      </c>
      <c r="R29" s="8">
        <v>30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2026-07-25T19:34:12Z</dcterms:modified>
</cp:coreProperties>
</file>